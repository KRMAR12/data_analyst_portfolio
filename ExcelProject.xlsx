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ravc\Desktop\testing_task\course\"/>
    </mc:Choice>
  </mc:AlternateContent>
  <xr:revisionPtr revIDLastSave="0" documentId="8_{0E787959-90AF-417D-98D6-6D203B7FB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Роздільник_Education">#N/A</definedName>
    <definedName name="Роздільник_Marital_Status">#N/A</definedName>
    <definedName name="Роздільник_Region">#N/A</definedName>
  </definedNames>
  <calcPr calcId="181029"/>
  <pivotCaches>
    <pivotCache cacheId="3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<sst xmlns="http://schemas.openxmlformats.org/spreadsheetml/2006/main" count="16267" uniqueCount="51">
  <si>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</si>
  <si>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</si>
  <si>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</si>
  <si>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</si>
  <si>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</si>
  <si>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</si>
  <si>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</si>
  <si>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</si>
  <si>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</si>
  <si>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</si>
  <si>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</si>
  <si>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</si>
  <si>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</si>
  <si>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</si>
  <si>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</si>
  <si>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</si>
  <si>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</si>
  <si>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</si>
  <si>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</si>
  <si>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</si>
  <si>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</si>
  <si>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</si>
  <si>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</si>
  <si>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</si>
  <si>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</si>
  <si>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</si>
  <si>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</si>
  <si>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</si>
  <si>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</si>
  <si>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</si>
  <si>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</si>
  <si>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</si>
  <si>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</si>
  <si>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</si>
  <si>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</si>
  <si>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</si>
  <si>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</si>
  <si>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</si>
  <si>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</si>
  <si>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</si>
  <si>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</si>
  <si>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Позначки рядків</t>
  </si>
  <si>
    <t>Загальний підсумок</t>
  </si>
  <si>
    <t>Середнє з Income</t>
  </si>
  <si>
    <t>Позначки стовпців</t>
  </si>
  <si>
    <t>Кількість з Purchased Bike</t>
  </si>
  <si>
    <t>More than 10 Miles</t>
  </si>
  <si>
    <t>Adolacent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</si>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</sst>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2" formatCode="[$$-409]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" fontId="0" fillId="0" borderId="0" xfId="0" applyNumberFormat="1"/>
    <xf numFmtId="17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Table!Зведена таблиця1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Awg</a:t>
            </a:r>
            <a:r>
              <a:rPr lang="en-GB" baseline="0"/>
              <a:t> Income Per Purchase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Table'!$C$4:$C$5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8-46DC-A139-D5678EE22C85}"/>
            </c:ext>
          </c:extLst>
        </c:ser>
        <c:ser>
          <c:idx val="1"/>
          <c:order val="1"/>
          <c:tx>
            <c:strRef>
              <c:f>'Pivot Table'!$D$4:$D$5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Table'!$D$6:$D$8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8-46DC-A139-D5678EE22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676144"/>
        <c:axId val="1257667408"/>
      </c:barChart>
      <c:catAx>
        <c:axId val="125767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Gender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667408"/>
        <c:crosses val="autoZero"/>
        <c:auto val="1"/>
        <c:lblAlgn val="ctr"/>
        <c:lblOffset val="100"/>
        <c:noMultiLvlLbl val="0"/>
      </c:catAx>
      <c:valAx>
        <c:axId val="12576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  <a:p>
                <a:pPr>
                  <a:defRPr/>
                </a:pP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676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Table!Зведена таблиця2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Table'!$C$20:$C$21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C-442E-AD9D-66934A677F1C}"/>
            </c:ext>
          </c:extLst>
        </c:ser>
        <c:ser>
          <c:idx val="1"/>
          <c:order val="1"/>
          <c:tx>
            <c:strRef>
              <c:f>'Pivot Table'!$D$20:$D$21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Table'!$D$22:$D$27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DC-442E-AD9D-66934A677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588656"/>
        <c:axId val="1668584080"/>
      </c:lineChart>
      <c:catAx>
        <c:axId val="166858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Comute</a:t>
                </a:r>
                <a:r>
                  <a:rPr lang="en-US" baseline="0"/>
                  <a:t>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8584080"/>
        <c:crosses val="autoZero"/>
        <c:auto val="1"/>
        <c:lblAlgn val="ctr"/>
        <c:lblOffset val="100"/>
        <c:noMultiLvlLbl val="0"/>
      </c:catAx>
      <c:valAx>
        <c:axId val="166858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858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Table!Зведена таблиця3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Age Brackets</a:t>
            </a:r>
          </a:p>
          <a:p>
            <a:pPr>
              <a:defRPr/>
            </a:pP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Table'!$C$43:$C$44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Table'!$B$45:$B$48</c:f>
              <c:strCache>
                <c:ptCount val="3"/>
                <c:pt idx="0">
                  <c:v>Adolacent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C1-4054-81C6-25089E6DD235}"/>
            </c:ext>
          </c:extLst>
        </c:ser>
        <c:ser>
          <c:idx val="1"/>
          <c:order val="1"/>
          <c:tx>
            <c:strRef>
              <c:f>'Pivot Table'!$D$43:$D$44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Table'!$B$45:$B$48</c:f>
              <c:strCache>
                <c:ptCount val="3"/>
                <c:pt idx="0">
                  <c:v>Adolacent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Table'!$D$45:$D$48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C1-4054-81C6-25089E6DD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540336"/>
        <c:axId val="1780540752"/>
      </c:lineChart>
      <c:catAx>
        <c:axId val="178054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540752"/>
        <c:crosses val="autoZero"/>
        <c:auto val="1"/>
        <c:lblAlgn val="ctr"/>
        <c:lblOffset val="100"/>
        <c:noMultiLvlLbl val="0"/>
      </c:catAx>
      <c:valAx>
        <c:axId val="17805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5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Table!Зведена таблиця1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Awg</a:t>
            </a:r>
            <a:r>
              <a:rPr lang="en-GB" baseline="0"/>
              <a:t> Income Per Purchase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65014116355776"/>
          <c:y val="0.25520641692842166"/>
          <c:w val="0.69470117751944438"/>
          <c:h val="0.335756118738065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Table'!$C$4:$C$5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5-4924-9144-0F5D7EC57568}"/>
            </c:ext>
          </c:extLst>
        </c:ser>
        <c:ser>
          <c:idx val="1"/>
          <c:order val="1"/>
          <c:tx>
            <c:strRef>
              <c:f>'Pivot Table'!$D$4:$D$5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Table'!$B$6:$B$8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Table'!$D$6:$D$8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5-4924-9144-0F5D7EC5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7676144"/>
        <c:axId val="1257667408"/>
      </c:barChart>
      <c:catAx>
        <c:axId val="1257676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Gender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667408"/>
        <c:crosses val="autoZero"/>
        <c:auto val="1"/>
        <c:lblAlgn val="ctr"/>
        <c:lblOffset val="100"/>
        <c:noMultiLvlLbl val="0"/>
      </c:catAx>
      <c:valAx>
        <c:axId val="12576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Income</a:t>
                </a:r>
              </a:p>
              <a:p>
                <a:pPr>
                  <a:defRPr/>
                </a:pP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76761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Table!Зведена таблиця2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Table'!$C$20:$C$21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1-46AE-A29D-933C7BEE73D9}"/>
            </c:ext>
          </c:extLst>
        </c:ser>
        <c:ser>
          <c:idx val="1"/>
          <c:order val="1"/>
          <c:tx>
            <c:strRef>
              <c:f>'Pivot Table'!$D$20:$D$21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Table'!$B$22:$B$27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Table'!$D$22:$D$27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21-46AE-A29D-933C7BEE7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588656"/>
        <c:axId val="1668584080"/>
      </c:lineChart>
      <c:catAx>
        <c:axId val="166858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Comute</a:t>
                </a:r>
                <a:r>
                  <a:rPr lang="en-US" baseline="0"/>
                  <a:t>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8584080"/>
        <c:crosses val="autoZero"/>
        <c:auto val="1"/>
        <c:lblAlgn val="ctr"/>
        <c:lblOffset val="100"/>
        <c:noMultiLvlLbl val="0"/>
      </c:catAx>
      <c:valAx>
        <c:axId val="166858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6858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Table!Зведена таблиця3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</a:t>
            </a:r>
            <a:r>
              <a:rPr lang="en-GB" baseline="0"/>
              <a:t> Age Brackets</a:t>
            </a:r>
          </a:p>
          <a:p>
            <a:pPr>
              <a:defRPr/>
            </a:pP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Table'!$C$43:$C$44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Table'!$B$45:$B$48</c:f>
              <c:strCache>
                <c:ptCount val="3"/>
                <c:pt idx="0">
                  <c:v>Adolacent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Table'!$C$45:$C$48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C-48BC-9B24-2575C4AF7F8C}"/>
            </c:ext>
          </c:extLst>
        </c:ser>
        <c:ser>
          <c:idx val="1"/>
          <c:order val="1"/>
          <c:tx>
            <c:strRef>
              <c:f>'Pivot Table'!$D$43:$D$44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Table'!$B$45:$B$48</c:f>
              <c:strCache>
                <c:ptCount val="3"/>
                <c:pt idx="0">
                  <c:v>Adolacent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Table'!$D$45:$D$48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C-48BC-9B24-2575C4AF7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540336"/>
        <c:axId val="1780540752"/>
      </c:lineChart>
      <c:catAx>
        <c:axId val="178054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540752"/>
        <c:crosses val="autoZero"/>
        <c:auto val="1"/>
        <c:lblAlgn val="ctr"/>
        <c:lblOffset val="100"/>
        <c:noMultiLvlLbl val="0"/>
      </c:catAx>
      <c:valAx>
        <c:axId val="17805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8054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559451</xdr:colOff>
      <xdr:row>0</xdr:row>
      <xdr:rowOff>28524</xdr:rowOff>
    </xdr:from>
    <xdr:to>
      <xdr:col>14</xdr:col>
      <xdr:colOff>256712</xdr:colOff>
      <xdr:row>15</xdr:row>
      <xdr:rowOff>28525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9308637F-2CA4-4B19-B2B2-CA7FD97E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525161</xdr:colOff>
      <xdr:row>18</xdr:row>
      <xdr:rowOff>8238</xdr:rowOff>
    </xdr:from>
    <xdr:to>
      <xdr:col>14</xdr:col>
      <xdr:colOff>236837</xdr:colOff>
      <xdr:row>32</xdr:row>
      <xdr:rowOff>156519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6E4F6B60-D2EF-4EF5-94E8-6E25701FF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41189</xdr:colOff>
      <xdr:row>35</xdr:row>
      <xdr:rowOff>18536</xdr:rowOff>
    </xdr:from>
    <xdr:to>
      <xdr:col>15</xdr:col>
      <xdr:colOff>380999</xdr:colOff>
      <xdr:row>51</xdr:row>
      <xdr:rowOff>144162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C0D56AEB-413B-4A2E-843E-D5B43533D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5</xdr:row>
      <xdr:rowOff>178031</xdr:rowOff>
    </xdr:from>
    <xdr:to>
      <xdr:col>9</xdr:col>
      <xdr:colOff>76200</xdr:colOff>
      <xdr:row>22</xdr:row>
      <xdr:rowOff>121920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10BB97F-2E23-4558-9108-FA0D6C2D8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281940</xdr:colOff>
      <xdr:row>22</xdr:row>
      <xdr:rowOff>137160</xdr:rowOff>
    </xdr:from>
    <xdr:to>
      <xdr:col>15</xdr:col>
      <xdr:colOff>22860</xdr:colOff>
      <xdr:row>41</xdr:row>
      <xdr:rowOff>15240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A7690DDA-2ED8-4425-941F-848CE230BD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91440</xdr:colOff>
      <xdr:row>6</xdr:row>
      <xdr:rowOff>7620</xdr:rowOff>
    </xdr:from>
    <xdr:to>
      <xdr:col>15</xdr:col>
      <xdr:colOff>22860</xdr:colOff>
      <xdr:row>22</xdr:row>
      <xdr:rowOff>144780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21512ED9-0503-41AB-980D-D7FF44F2F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114301</xdr:rowOff>
    </xdr:from>
    <xdr:to>
      <xdr:col>2</xdr:col>
      <xdr:colOff>243840</xdr:colOff>
      <xdr:row>11</xdr:row>
      <xdr:rowOff>129540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67D0ABE4-C657-4892-895F-7433530D75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211581"/>
              <a:ext cx="1455420" cy="9296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45720</xdr:rowOff>
    </xdr:from>
    <xdr:to>
      <xdr:col>2</xdr:col>
      <xdr:colOff>259080</xdr:colOff>
      <xdr:row>28</xdr:row>
      <xdr:rowOff>15239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E6CE892A-587A-437B-91B0-2BE1EA95A8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37560"/>
              <a:ext cx="1478280" cy="1798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137161</xdr:rowOff>
    </xdr:from>
    <xdr:to>
      <xdr:col>2</xdr:col>
      <xdr:colOff>266700</xdr:colOff>
      <xdr:row>18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4388E0A4-7AEB-4801-AB9C-7388288068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48841"/>
              <a:ext cx="1485900" cy="1188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Kravchuk" refreshedDate="46290.737262615738" createdVersion="7" refreshedVersion="7" minRefreshableVersion="3" recordCount="1000" xr:uid="{A318F78F-62A5-4E70-9C9D-1D37FC8400B4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2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a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866244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29FA2-2803-4C82-A1DB-126ECC0ACD97}" name="Зведена таблиця3" cacheId="33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B43:E48" firstHeaderRow="1" firstDataRow="2" firstDataCol="1"/>
  <pivotFields count="14">
    <pivotField showAll="0"/>
    <pivotField showAll="0"/>
    <pivotField showAll="0"/>
    <pivotField numFmtId="17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6D0A5-010C-47E2-B590-BAE9FA6B2A94}" name="Зведена таблиця2" cacheId="33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8">
  <location ref="B20:E27" firstHeaderRow="1" firstDataRow="2" firstDataCol="1"/>
  <pivotFields count="14">
    <pivotField showAll="0"/>
    <pivotField showAll="0"/>
    <pivotField showAll="0"/>
    <pivotField numFmtId="172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з Purchased Bike" fld="13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EDB72-1B57-432E-A936-2709E82C1446}" name="Зведена таблиця1" cacheId="33" applyNumberFormats="0" applyBorderFormats="0" applyFontFormats="0" applyPatternFormats="0" applyAlignmentFormats="0" applyWidthHeightFormats="1" dataCaption="Значення" updatedVersion="7" minRefreshableVersion="3" useAutoFormatting="1" itemPrintTitles="1" createdVersion="7" indent="0" outline="1" outlineData="1" multipleFieldFilters="0" chartFormat="4">
  <location ref="B4:E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2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ереднє з Income" fld="3" subtotal="average" baseField="2" baseItem="0" numFmtId="1"/>
  </dataFields>
  <formats count="1">
    <format dxfId="5">
      <pivotArea outline="0" collapsedLevelsAreSubtotals="1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arital_Status" xr10:uid="{F7E18340-6926-42CF-BD51-1C9D0912B120}" sourceName="Marital Status">
  <pivotTables>
    <pivotTable tabId="3" name="Зведена таблиця1"/>
  </pivotTables>
  <data>
    <tabular pivotCacheId="8662445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Education" xr10:uid="{D6CD2701-F5F4-45F6-BB24-33282753F3E6}" sourceName="Education">
  <pivotTables>
    <pivotTable tabId="3" name="Зведена таблиця1"/>
  </pivotTables>
  <data>
    <tabular pivotCacheId="86624454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egion" xr10:uid="{406EF4DA-3C23-45C4-B793-122DD5CF212E}" sourceName="Region">
  <pivotTables>
    <pivotTable tabId="3" name="Зведена таблиця1"/>
  </pivotTables>
  <data>
    <tabular pivotCacheId="86624454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30F9E95C-9119-4591-80EE-47A86EC5F68E}" cache="Роздільник_Marital_Status" caption="Marital Status" rowHeight="234950"/>
  <slicer name="Education" xr10:uid="{C9C84EAE-31F4-4510-94EE-0E934A9B73E5}" cache="Роздільник_Education" caption="Education" rowHeight="234950"/>
  <slicer name="Region" xr10:uid="{DD25B202-FA75-44DA-B0A5-EF9394902A57}" cache="Роздільник_Region" caption="Region" rowHeight="234950"/>
</slicer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topLeftCell="A668" workbookViewId="0">
      <selection activeCell="N743" sqref="N743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6DAE-8DA1-44B6-8B31-48488E8E3387}">
  <dimension ref="A1:N1001"/>
  <sheetViews>
    <sheetView topLeftCell="J1" zoomScale="107" zoomScaleNormal="107" workbookViewId="0">
      <selection activeCell="M2" sqref="M2"/>
    </sheetView>
  </sheetViews>
  <sheetFormatPr defaultColWidth="11.88671875" defaultRowHeight="14.4" x14ac:dyDescent="0.3"/>
  <cols>
    <col min="1" max="1" width="20.44140625" customWidth="1"/>
    <col min="2" max="2" width="23.44140625" customWidth="1"/>
    <col min="4" max="4" width="19.33203125" style="4" customWidth="1"/>
    <col min="6" max="6" width="19.44140625" customWidth="1"/>
    <col min="7" max="7" width="20.33203125" customWidth="1"/>
    <col min="9" max="9" width="17.109375" customWidth="1"/>
    <col min="11" max="11" width="15.5546875" customWidth="1"/>
    <col min="13" max="13" width="11.88671875" customWidth="1"/>
    <col min="14" max="14" width="15.44140625" customWidth="1"/>
  </cols>
  <sheetData>
    <row r="1" spans="1:14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4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 55+", IF(L2&gt;=31, "Middle Age 31-54",IF(L2&lt;31,"Adolacent0-30","Invalid")))</f>
        <v>Middle Age 31-54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4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 IF(L3&gt;=31, "Middle Age",IF(L3&lt;31,"Adolacent","Invalid")))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4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4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4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4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4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4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4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>IF(L10&gt;54,"Old", IF(L10&gt;=31, "Middle Age",IF(L10&lt;31,"Adolacent 0-30","Invalid")))</f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4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4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4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4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4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4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4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4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4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4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4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4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4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4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4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4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4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4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Adolacent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4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4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4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4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4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Adolacent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4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4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4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4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4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4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Adolacent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4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Adolacent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4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4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4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4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4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4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4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4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4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4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4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4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Adolacent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4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4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4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4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4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4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4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4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4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4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4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4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4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4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4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 IF(L67&gt;=31, "Middle Age",IF(L67&lt;31,"Adolacent","Invalid")))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4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4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4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4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Adolacent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4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4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4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4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4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4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4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Adolacent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4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Adolacent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4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4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4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4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4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4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Adolacent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4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4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Adolacent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4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4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4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Adolacent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4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4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Adolacent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4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Adolacent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4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4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4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4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4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4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4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Adolacent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4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4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4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4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4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4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4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Adolacent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4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4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4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4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4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4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4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4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4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Adolacent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4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Adolacent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4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4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4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4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Adolacent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4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4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4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4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4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4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4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4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4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4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 IF(L131&gt;=31, "Middle Age",IF(L131&lt;31,"Adolacent","Invalid")))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4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4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4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4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4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4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4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4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4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4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4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4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Adolacent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4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4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4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4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4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4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4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4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Adolacent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4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4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4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4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4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4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4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4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4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4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4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4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4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4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4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Adolacent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4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Adolacent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4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4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4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4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4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4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4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4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Adolacent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4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4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4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Adolacent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4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4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4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4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4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4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4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4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4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4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4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4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4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4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4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4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4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 IF(L195&gt;=31, "Middle Age",IF(L195&lt;31,"Adolacent","Invalid")))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4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4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Adolacent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4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4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4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4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4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4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Adolacent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4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4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4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4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4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4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Adolacent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4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4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4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4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4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Adolacent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4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4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4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4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4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Adolacent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4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4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Adolacent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4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4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4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4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4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4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4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4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4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4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4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4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4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4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Adolacent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4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4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4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4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Adolacent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4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4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4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4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Adolacent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4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4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Adolacent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4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4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4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4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4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4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4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4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4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4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4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4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4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4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 IF(L259&gt;=31, "Middle Age",IF(L259&lt;31,"Adolacent","Invalid")))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4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4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4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4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4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4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4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4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4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Adolacent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4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4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4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4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4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Adolacent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4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4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Adolacent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4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4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4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4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4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4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4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4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4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4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4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4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4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4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4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4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4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4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4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4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4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4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4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4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4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4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4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4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Adolacent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4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4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4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4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4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4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4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4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4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4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4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4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4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4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4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4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4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4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4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4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 IF(L323&gt;=31, "Middle Age",IF(L323&lt;31,"Adolacent","Invalid")))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4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4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4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4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4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Adolacent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4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4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4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4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4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Adolacent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4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4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4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4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4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4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4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4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4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Adolacent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4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4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4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4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4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4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4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4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4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Adolacent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4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Adolacent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4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4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4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4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4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4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4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4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4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Adolacent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4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4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Adolacent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4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4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4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4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4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4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4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4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4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4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4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4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Adolacent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4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4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4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4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4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4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4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Adolacent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4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4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4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4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Adolacent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4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 IF(L387&gt;=31, "Middle Age",IF(L387&lt;31,"Adolacent","Invalid")))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4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4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4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4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4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4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4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4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4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4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4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4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4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4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4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4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4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4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4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4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4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4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4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4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4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4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4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4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4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4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4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4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4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4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4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4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4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4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4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4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4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Adolacent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4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4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4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4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4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Adolacent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4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4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Adolacent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4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4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4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4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Adolacent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4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4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4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4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4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4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4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4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4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4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4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4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 IF(L451&gt;=31, "Middle Age",IF(L451&lt;31,"Adolacent","Invalid")))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4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4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4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4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4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4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4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4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4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4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4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4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4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4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4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4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4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4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4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4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4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Adolacent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4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4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4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4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4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4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4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4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4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4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4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4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4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4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4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4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4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4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4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4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4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4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4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4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4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4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4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4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4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4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4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4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Adolacent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4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4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4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4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4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4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Adolacent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4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4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4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4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4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 IF(L515&gt;=31, "Middle Age",IF(L515&lt;31,"Adolacent","Invalid")))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4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4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4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4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4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4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4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4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4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4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4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4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4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4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4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Adolacent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4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4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Adolacent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4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Adolacent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4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4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4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4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4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4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4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4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4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4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4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Adolacent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4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4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4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Adolacent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4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4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4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4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4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4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4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4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4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4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4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4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4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4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4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4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4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4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Adolacent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4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Adolacent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4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4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4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4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4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4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4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4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Adolacent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4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4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4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4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4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 IF(L579&gt;=31, "Middle Age",IF(L579&lt;31,"Adolacent","Invalid")))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4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4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4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4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Adolacent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4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4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4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4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4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4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4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4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4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4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4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4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4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4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4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4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4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4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4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4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4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4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4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Adolacent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4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4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4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4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4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4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4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4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Adolacent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4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4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4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4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4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4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4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Adolacent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4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4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4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4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4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Adolacent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4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4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Adolacent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4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4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4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4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Adolacent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4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4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4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4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4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4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4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Adolacent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4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4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4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4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 IF(L643&gt;=31, "Middle Age",IF(L643&lt;31,"Adolacent","Invalid")))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4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4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4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4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4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4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4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4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4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4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4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4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4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4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4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4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4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4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4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4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Adolacent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4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4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4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4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4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4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4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4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4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4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4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Adolacent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4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4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4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4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4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4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4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4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4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4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4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4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4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4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4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Adolacent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4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Adolacent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4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Adolacent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4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4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4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4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4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4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4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Adolacent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4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Adolacent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4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4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4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4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Adolacent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4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4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4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4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 IF(L707&gt;=31, "Middle Age",IF(L707&lt;31,"Adolacent","Invalid")))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4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4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4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4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4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4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4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4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4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Adolacent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4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4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4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4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4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4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4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4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4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4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4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4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4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4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Adolacent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4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4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4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4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4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4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4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Adolacent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4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4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4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4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4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Adolacent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4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4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Adolacent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4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4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4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4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4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4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4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4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4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4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4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Adolacent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4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4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4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4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4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4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4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4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4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4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4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Adolacent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4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4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4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4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4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 IF(L771&gt;=31, "Middle Age",IF(L771&lt;31,"Adolacent","Invalid")))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4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4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4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4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4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4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4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4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Adolacent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4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4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4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4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4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4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4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4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Adolacent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4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4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4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4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4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4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Adolacent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4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4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4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4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4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4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Adolacent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4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Adolacent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4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4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4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4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Adolacent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4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Adolacent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4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Adolacent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4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4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4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4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4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4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4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4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4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4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4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Adolacent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4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4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4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Adolacent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4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Adolacent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4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4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4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4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4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4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4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4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4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Adolacent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4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4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4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4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4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 IF(L835&gt;=31, "Middle Age",IF(L835&lt;31,"Adolacent","Invalid")))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4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4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4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Adolacent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4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4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4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4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4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4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4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4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4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4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4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Adolacent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4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4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4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4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4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4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4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4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4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Adolacent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4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4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4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4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4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4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4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4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4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4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4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4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4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4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4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4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4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4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4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4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Adolacent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4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4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4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4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4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4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4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4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4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4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4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4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4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4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4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4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4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4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4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4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4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 IF(L899&gt;=31, "Middle Age",IF(L899&lt;31,"Adolacent","Invalid")))</f>
        <v>Adolacent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4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4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4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4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4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4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4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4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4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4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4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4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4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4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4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4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4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4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4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4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4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4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4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4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4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4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4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4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4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4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4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4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4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4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4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Adolacent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4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Adolacent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4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4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4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4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4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Adolacent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4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4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4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4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4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4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4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4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4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4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4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4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4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4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4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Adolacent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4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4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4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4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Adolacent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4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4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4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4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 IF(L963&gt;=31, "Middle Age",IF(L963&lt;31,"Adolacent","Invalid")))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4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4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4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4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4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4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4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Adolacent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4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4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4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4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4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4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4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4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4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4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4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4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4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4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4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4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4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4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4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4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4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4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Adolacent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4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4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4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4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4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4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4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4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4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AEEA6DAE-8DA1-44B6-8B31-48488E8E3387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D239-A07E-427B-98F8-5FA4C4574837}">
  <dimension ref="B4:E48"/>
  <sheetViews>
    <sheetView topLeftCell="G16" zoomScale="74" zoomScaleNormal="74" workbookViewId="0">
      <selection activeCell="D43" sqref="D43"/>
    </sheetView>
  </sheetViews>
  <sheetFormatPr defaultRowHeight="14.4" x14ac:dyDescent="0.3"/>
  <cols>
    <col min="2" max="2" width="19.77734375" bestFit="1" customWidth="1"/>
    <col min="3" max="3" width="21.44140625" bestFit="1" customWidth="1"/>
    <col min="4" max="4" width="6.21875" bestFit="1" customWidth="1"/>
    <col min="5" max="5" width="19.77734375" bestFit="1" customWidth="1"/>
    <col min="6" max="6" width="10.77734375" bestFit="1" customWidth="1"/>
    <col min="7" max="7" width="31.21875" bestFit="1" customWidth="1"/>
    <col min="8" max="8" width="17.109375" bestFit="1" customWidth="1"/>
  </cols>
  <sheetData>
    <row r="4" spans="2:5" x14ac:dyDescent="0.3">
      <c r="B4" s="6" t="s">
        <v>43</v>
      </c>
      <c r="C4" s="6" t="s">
        <v>44</v>
      </c>
    </row>
    <row r="5" spans="2:5" x14ac:dyDescent="0.3">
      <c r="B5" s="6" t="s">
        <v>41</v>
      </c>
      <c r="C5" t="s">
        <v>18</v>
      </c>
      <c r="D5" t="s">
        <v>15</v>
      </c>
      <c r="E5" t="s">
        <v>42</v>
      </c>
    </row>
    <row r="6" spans="2:5" x14ac:dyDescent="0.3">
      <c r="B6" s="7" t="s">
        <v>39</v>
      </c>
      <c r="C6" s="3">
        <v>53440</v>
      </c>
      <c r="D6" s="3">
        <v>55774.058577405856</v>
      </c>
      <c r="E6" s="3">
        <v>54580.777096114522</v>
      </c>
    </row>
    <row r="7" spans="2:5" x14ac:dyDescent="0.3">
      <c r="B7" s="7" t="s">
        <v>38</v>
      </c>
      <c r="C7" s="3">
        <v>56208.178438661707</v>
      </c>
      <c r="D7" s="3">
        <v>60123.966942148763</v>
      </c>
      <c r="E7" s="3">
        <v>58062.62230919765</v>
      </c>
    </row>
    <row r="8" spans="2:5" x14ac:dyDescent="0.3">
      <c r="B8" s="7" t="s">
        <v>42</v>
      </c>
      <c r="C8" s="3">
        <v>54874.759152215796</v>
      </c>
      <c r="D8" s="3">
        <v>57962.577962577961</v>
      </c>
      <c r="E8" s="3">
        <v>56360</v>
      </c>
    </row>
    <row r="20" spans="2:5" x14ac:dyDescent="0.3">
      <c r="B20" s="6" t="s">
        <v>45</v>
      </c>
      <c r="C20" s="6" t="s">
        <v>44</v>
      </c>
    </row>
    <row r="21" spans="2:5" x14ac:dyDescent="0.3">
      <c r="B21" s="6" t="s">
        <v>41</v>
      </c>
      <c r="C21" t="s">
        <v>18</v>
      </c>
      <c r="D21" t="s">
        <v>15</v>
      </c>
      <c r="E21" t="s">
        <v>42</v>
      </c>
    </row>
    <row r="22" spans="2:5" x14ac:dyDescent="0.3">
      <c r="B22" s="7" t="s">
        <v>16</v>
      </c>
      <c r="C22" s="5">
        <v>166</v>
      </c>
      <c r="D22" s="5">
        <v>200</v>
      </c>
      <c r="E22" s="5">
        <v>366</v>
      </c>
    </row>
    <row r="23" spans="2:5" x14ac:dyDescent="0.3">
      <c r="B23" s="7" t="s">
        <v>26</v>
      </c>
      <c r="C23" s="5">
        <v>92</v>
      </c>
      <c r="D23" s="5">
        <v>77</v>
      </c>
      <c r="E23" s="5">
        <v>169</v>
      </c>
    </row>
    <row r="24" spans="2:5" x14ac:dyDescent="0.3">
      <c r="B24" s="7" t="s">
        <v>22</v>
      </c>
      <c r="C24" s="5">
        <v>67</v>
      </c>
      <c r="D24" s="5">
        <v>95</v>
      </c>
      <c r="E24" s="5">
        <v>162</v>
      </c>
    </row>
    <row r="25" spans="2:5" x14ac:dyDescent="0.3">
      <c r="B25" s="7" t="s">
        <v>23</v>
      </c>
      <c r="C25" s="5">
        <v>116</v>
      </c>
      <c r="D25" s="5">
        <v>76</v>
      </c>
      <c r="E25" s="5">
        <v>192</v>
      </c>
    </row>
    <row r="26" spans="2:5" x14ac:dyDescent="0.3">
      <c r="B26" s="7" t="s">
        <v>46</v>
      </c>
      <c r="C26" s="5">
        <v>78</v>
      </c>
      <c r="D26" s="5">
        <v>33</v>
      </c>
      <c r="E26" s="5">
        <v>111</v>
      </c>
    </row>
    <row r="27" spans="2:5" x14ac:dyDescent="0.3">
      <c r="B27" s="7" t="s">
        <v>42</v>
      </c>
      <c r="C27" s="5">
        <v>519</v>
      </c>
      <c r="D27" s="5">
        <v>481</v>
      </c>
      <c r="E27" s="5">
        <v>1000</v>
      </c>
    </row>
    <row r="43" spans="2:5" x14ac:dyDescent="0.3">
      <c r="B43" s="6" t="s">
        <v>45</v>
      </c>
      <c r="C43" s="6" t="s">
        <v>44</v>
      </c>
    </row>
    <row r="44" spans="2:5" x14ac:dyDescent="0.3">
      <c r="B44" s="6" t="s">
        <v>41</v>
      </c>
      <c r="C44" t="s">
        <v>18</v>
      </c>
      <c r="D44" t="s">
        <v>15</v>
      </c>
      <c r="E44" t="s">
        <v>42</v>
      </c>
    </row>
    <row r="45" spans="2:5" x14ac:dyDescent="0.3">
      <c r="B45" s="7" t="s">
        <v>47</v>
      </c>
      <c r="C45" s="5">
        <v>71</v>
      </c>
      <c r="D45" s="5">
        <v>39</v>
      </c>
      <c r="E45" s="5">
        <v>110</v>
      </c>
    </row>
    <row r="46" spans="2:5" x14ac:dyDescent="0.3">
      <c r="B46" s="7" t="s">
        <v>48</v>
      </c>
      <c r="C46" s="5">
        <v>318</v>
      </c>
      <c r="D46" s="5">
        <v>383</v>
      </c>
      <c r="E46" s="5">
        <v>701</v>
      </c>
    </row>
    <row r="47" spans="2:5" x14ac:dyDescent="0.3">
      <c r="B47" s="7" t="s">
        <v>49</v>
      </c>
      <c r="C47" s="5">
        <v>130</v>
      </c>
      <c r="D47" s="5">
        <v>59</v>
      </c>
      <c r="E47" s="5">
        <v>189</v>
      </c>
    </row>
    <row r="48" spans="2:5" x14ac:dyDescent="0.3">
      <c r="B48" s="7" t="s">
        <v>42</v>
      </c>
      <c r="C48" s="5">
        <v>519</v>
      </c>
      <c r="D48" s="5">
        <v>481</v>
      </c>
      <c r="E48" s="5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BF75D-4FBB-4B89-8EA1-59D2A8B909BD}">
  <dimension ref="A1:O6"/>
  <sheetViews>
    <sheetView showGridLines="0" topLeftCell="A16" zoomScaleNormal="100" workbookViewId="0">
      <selection activeCell="W23" sqref="W23"/>
    </sheetView>
  </sheetViews>
  <sheetFormatPr defaultRowHeight="14.4" x14ac:dyDescent="0.3"/>
  <sheetData>
    <row r="1" spans="1:15" x14ac:dyDescent="0.3">
      <c r="A1" s="9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Kravchuk</dc:creator>
  <cp:lastModifiedBy>Кравчук Марія Любомирівна</cp:lastModifiedBy>
  <dcterms:created xsi:type="dcterms:W3CDTF">2022-03-18T02:50:57Z</dcterms:created>
  <dcterms:modified xsi:type="dcterms:W3CDTF">2026-09-25T15:59:47Z</dcterms:modified>
</cp:coreProperties>
</file>